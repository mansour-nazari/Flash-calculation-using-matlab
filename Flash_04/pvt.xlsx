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E:\SHARIF-UNI\term 2\PVT\pvt project\FlashCalculation\hw1\hw1\flash01\"/>
    </mc:Choice>
  </mc:AlternateContent>
  <xr:revisionPtr revIDLastSave="0" documentId="13_ncr:1_{7C498B09-8F9A-4B95-9A5C-1EAA0D65D73C}" xr6:coauthVersionLast="47" xr6:coauthVersionMax="47" xr10:uidLastSave="{00000000-0000-0000-0000-000000000000}"/>
  <bookViews>
    <workbookView xWindow="780" yWindow="780" windowWidth="15375" windowHeight="7875" xr2:uid="{00000000-000D-0000-FFFF-FFFF00000000}"/>
  </bookViews>
  <sheets>
    <sheet name="PROP" sheetId="3" r:id="rId1"/>
    <sheet name="B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3" i="3" l="1"/>
</calcChain>
</file>

<file path=xl/sharedStrings.xml><?xml version="1.0" encoding="utf-8"?>
<sst xmlns="http://schemas.openxmlformats.org/spreadsheetml/2006/main" count="47" uniqueCount="36">
  <si>
    <t>CH4</t>
  </si>
  <si>
    <t>C2H6</t>
  </si>
  <si>
    <t>C3H8</t>
  </si>
  <si>
    <t>IC4</t>
  </si>
  <si>
    <t>NC4</t>
  </si>
  <si>
    <t>IC5</t>
  </si>
  <si>
    <t>NC5</t>
  </si>
  <si>
    <t>FC6</t>
  </si>
  <si>
    <t>FC7</t>
  </si>
  <si>
    <t>FC8</t>
  </si>
  <si>
    <t>FC9</t>
  </si>
  <si>
    <t>component</t>
  </si>
  <si>
    <t>Acentric fact.</t>
  </si>
  <si>
    <t>Mol. Weight</t>
  </si>
  <si>
    <t>Z(Rackett)</t>
  </si>
  <si>
    <t>SG</t>
  </si>
  <si>
    <t>CH4(HC)</t>
  </si>
  <si>
    <t>C2H6(HC)</t>
  </si>
  <si>
    <t>C3H8(HC)</t>
  </si>
  <si>
    <t>IC4(HC)</t>
  </si>
  <si>
    <t>NC4(HC)</t>
  </si>
  <si>
    <t>IC5(HC)</t>
  </si>
  <si>
    <t>NC5(HC)</t>
  </si>
  <si>
    <t>FC6(HC)</t>
  </si>
  <si>
    <t>FC7(HC)</t>
  </si>
  <si>
    <t>FC8(HC)</t>
  </si>
  <si>
    <t>FC9(HC)</t>
  </si>
  <si>
    <t>C10+</t>
  </si>
  <si>
    <t>C10+(HC)</t>
  </si>
  <si>
    <t>FC10+(HC)</t>
  </si>
  <si>
    <t>Pc(psi)</t>
  </si>
  <si>
    <t>Tc(F)</t>
  </si>
  <si>
    <t>composition(% mole)</t>
  </si>
  <si>
    <t>Vshift PR</t>
  </si>
  <si>
    <t>Vshift SRK</t>
  </si>
  <si>
    <t>pach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</si>
</sst>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17C1A-C942-4645-9B75-A6D094CA6E24}">
  <dimension ref="A1:V15"/>
  <sheetViews>
    <sheetView tabSelected="1" workbookViewId="0">
      <selection activeCell="K2" sqref="K2"/>
    </sheetView>
  </sheetViews>
  <sheetFormatPr defaultRowHeight="15" x14ac:dyDescent="0.25"/>
  <cols>
    <col min="2" max="2" width="18.42578125" bestFit="1" customWidth="1"/>
    <col min="3" max="3" width="12" bestFit="1" customWidth="1"/>
    <col min="5" max="5" width="9.140625" customWidth="1"/>
    <col min="6" max="6" width="13" customWidth="1"/>
    <col min="7" max="7" width="14.42578125" customWidth="1"/>
    <col min="8" max="8" width="13.5703125" customWidth="1"/>
  </cols>
  <sheetData>
    <row r="1" spans="1:22" x14ac:dyDescent="0.25">
      <c r="A1" t="s">
        <v>11</v>
      </c>
      <c r="B1" t="s">
        <v>32</v>
      </c>
      <c r="C1" t="s">
        <v>30</v>
      </c>
      <c r="D1" t="s">
        <v>31</v>
      </c>
      <c r="E1" t="s">
        <v>12</v>
      </c>
      <c r="F1" t="s">
        <v>13</v>
      </c>
      <c r="G1" t="s">
        <v>14</v>
      </c>
      <c r="H1" t="s">
        <v>34</v>
      </c>
      <c r="I1" t="s">
        <v>33</v>
      </c>
      <c r="J1" t="s">
        <v>15</v>
      </c>
      <c r="K1" t="s">
        <v>35</v>
      </c>
    </row>
    <row r="2" spans="1:22" x14ac:dyDescent="0.25">
      <c r="A2" s="1" t="s">
        <v>0</v>
      </c>
      <c r="B2">
        <v>40</v>
      </c>
      <c r="C2">
        <v>667.19612999999993</v>
      </c>
      <c r="D2">
        <v>-116.58999999999997</v>
      </c>
      <c r="E2" s="1">
        <v>8.0000000000000002E-3</v>
      </c>
      <c r="F2" s="1">
        <v>16.042999999999999</v>
      </c>
      <c r="G2" s="1">
        <v>0.28760000000000002</v>
      </c>
      <c r="H2" s="1">
        <v>2.3400000000000001E-2</v>
      </c>
      <c r="I2" s="1">
        <v>-0.1595</v>
      </c>
      <c r="J2" s="1">
        <v>0.3</v>
      </c>
      <c r="K2" s="1">
        <v>77</v>
      </c>
      <c r="L2" s="1"/>
      <c r="M2" s="1"/>
      <c r="N2" s="1"/>
      <c r="O2" s="1"/>
      <c r="P2" s="1"/>
      <c r="Q2" s="1"/>
      <c r="R2" s="2"/>
      <c r="S2" s="2"/>
      <c r="T2" s="2"/>
      <c r="U2" s="1"/>
      <c r="V2" s="1"/>
    </row>
    <row r="3" spans="1:22" x14ac:dyDescent="0.25">
      <c r="A3" s="1" t="s">
        <v>1</v>
      </c>
      <c r="B3">
        <v>1.5</v>
      </c>
      <c r="C3">
        <v>708.34478999999999</v>
      </c>
      <c r="D3">
        <v>90.050000000000011</v>
      </c>
      <c r="E3" s="1">
        <v>9.8000000000000004E-2</v>
      </c>
      <c r="F3" s="1">
        <v>30.07</v>
      </c>
      <c r="G3" s="1">
        <v>0.27889999999999998</v>
      </c>
      <c r="H3" s="1">
        <v>6.0499999999999998E-2</v>
      </c>
      <c r="I3" s="1">
        <v>-0.1134</v>
      </c>
      <c r="J3" s="1">
        <v>0.35599999999999998</v>
      </c>
      <c r="K3" s="1">
        <v>108</v>
      </c>
      <c r="L3" s="1"/>
      <c r="M3" s="1"/>
      <c r="N3" s="1"/>
      <c r="O3" s="1"/>
      <c r="P3" s="1"/>
      <c r="Q3" s="2"/>
      <c r="R3" s="2"/>
      <c r="S3" s="2"/>
      <c r="T3" s="2"/>
      <c r="U3" s="1"/>
      <c r="V3" s="1"/>
    </row>
    <row r="4" spans="1:22" x14ac:dyDescent="0.25">
      <c r="A4" s="1" t="s">
        <v>2</v>
      </c>
      <c r="B4">
        <v>0.2</v>
      </c>
      <c r="C4">
        <v>615.76030500000002</v>
      </c>
      <c r="D4">
        <v>205.97000000000006</v>
      </c>
      <c r="E4" s="1">
        <v>0.152</v>
      </c>
      <c r="F4" s="1">
        <v>44.097000000000001</v>
      </c>
      <c r="G4" s="1">
        <v>0.27629999999999999</v>
      </c>
      <c r="H4" s="1">
        <v>8.2500000000000004E-2</v>
      </c>
      <c r="I4" s="1">
        <v>-8.6300000000000002E-2</v>
      </c>
      <c r="J4" s="1">
        <v>0.50700000000000001</v>
      </c>
      <c r="K4" s="1">
        <v>150.30000000000001</v>
      </c>
      <c r="L4" s="1"/>
      <c r="M4" s="1"/>
      <c r="N4" s="1"/>
      <c r="O4" s="1"/>
      <c r="P4" s="1"/>
      <c r="Q4" s="1"/>
      <c r="R4" s="2"/>
      <c r="S4" s="2"/>
      <c r="T4" s="2"/>
      <c r="U4" s="1"/>
      <c r="V4" s="1"/>
    </row>
    <row r="5" spans="1:22" x14ac:dyDescent="0.25">
      <c r="A5" s="1" t="s">
        <v>3</v>
      </c>
      <c r="B5">
        <v>0.1</v>
      </c>
      <c r="C5">
        <v>529.05420000000004</v>
      </c>
      <c r="D5">
        <v>274.91000000000008</v>
      </c>
      <c r="E5" s="1">
        <v>0.17599999999999999</v>
      </c>
      <c r="F5" s="1">
        <v>58.124000000000002</v>
      </c>
      <c r="G5" s="1">
        <v>0.27500000000000002</v>
      </c>
      <c r="H5" s="1">
        <v>8.3000000000000004E-2</v>
      </c>
      <c r="I5" s="1">
        <v>-8.4400000000000003E-2</v>
      </c>
      <c r="J5" s="1">
        <v>0.56299999999999994</v>
      </c>
      <c r="K5" s="1">
        <v>181.5</v>
      </c>
      <c r="L5" s="1"/>
      <c r="M5" s="1"/>
      <c r="N5" s="1"/>
      <c r="O5" s="1"/>
      <c r="P5" s="1"/>
      <c r="Q5" s="1"/>
      <c r="R5" s="2"/>
      <c r="S5" s="2"/>
      <c r="T5" s="2"/>
      <c r="U5" s="1"/>
      <c r="V5" s="1"/>
    </row>
    <row r="6" spans="1:22" x14ac:dyDescent="0.25">
      <c r="A6" s="1" t="s">
        <v>4</v>
      </c>
      <c r="B6">
        <v>0.1</v>
      </c>
      <c r="C6">
        <v>551.09812499999998</v>
      </c>
      <c r="D6">
        <v>305.69000000000005</v>
      </c>
      <c r="E6" s="1">
        <v>0.193</v>
      </c>
      <c r="F6" s="1">
        <v>58.124000000000002</v>
      </c>
      <c r="G6" s="1">
        <v>0.27279999999999999</v>
      </c>
      <c r="H6" s="1">
        <v>9.7500000000000003E-2</v>
      </c>
      <c r="I6" s="1">
        <v>-6.7500000000000004E-2</v>
      </c>
      <c r="J6" s="1">
        <v>0.58399999999999996</v>
      </c>
      <c r="K6" s="1">
        <v>189.9</v>
      </c>
      <c r="L6" s="1"/>
      <c r="M6" s="1"/>
      <c r="N6" s="1"/>
      <c r="O6" s="1"/>
      <c r="P6" s="1"/>
      <c r="Q6" s="1"/>
      <c r="R6" s="2"/>
      <c r="S6" s="2"/>
      <c r="T6" s="2"/>
      <c r="U6" s="1"/>
      <c r="V6" s="1"/>
    </row>
    <row r="7" spans="1:22" x14ac:dyDescent="0.25">
      <c r="A7" s="1" t="s">
        <v>5</v>
      </c>
      <c r="B7">
        <v>0.1</v>
      </c>
      <c r="C7">
        <v>490.84472999999997</v>
      </c>
      <c r="D7">
        <v>369.05</v>
      </c>
      <c r="E7" s="1">
        <v>0.22700000000000001</v>
      </c>
      <c r="F7" s="1">
        <v>72.150999999999996</v>
      </c>
      <c r="G7" s="1">
        <v>0.27160000000000001</v>
      </c>
      <c r="H7" s="1">
        <v>0.1022</v>
      </c>
      <c r="I7" s="1">
        <v>-6.08E-2</v>
      </c>
      <c r="J7" s="1">
        <v>0.625</v>
      </c>
      <c r="K7" s="1">
        <v>225</v>
      </c>
      <c r="L7" s="1"/>
      <c r="M7" s="1"/>
      <c r="N7" s="1"/>
      <c r="O7" s="1"/>
      <c r="P7" s="1"/>
      <c r="Q7" s="1"/>
      <c r="R7" s="2"/>
      <c r="S7" s="2"/>
      <c r="T7" s="2"/>
      <c r="U7" s="1"/>
      <c r="V7" s="1"/>
    </row>
    <row r="8" spans="1:22" x14ac:dyDescent="0.25">
      <c r="A8" s="1" t="s">
        <v>6</v>
      </c>
      <c r="B8">
        <v>0.02</v>
      </c>
      <c r="C8">
        <v>489.37513499999994</v>
      </c>
      <c r="D8">
        <v>385.61000000000007</v>
      </c>
      <c r="E8" s="1">
        <v>0.251</v>
      </c>
      <c r="F8" s="1">
        <v>72.150999999999996</v>
      </c>
      <c r="G8" s="1">
        <v>0.26850000000000002</v>
      </c>
      <c r="H8" s="1">
        <v>0.12089999999999999</v>
      </c>
      <c r="I8" s="1">
        <v>-3.9E-2</v>
      </c>
      <c r="J8" s="1">
        <v>0.63100000000000001</v>
      </c>
      <c r="K8" s="1">
        <v>231.5</v>
      </c>
      <c r="L8" s="1"/>
      <c r="M8" s="1"/>
      <c r="N8" s="1"/>
      <c r="O8" s="1"/>
      <c r="P8" s="1"/>
      <c r="Q8" s="1"/>
      <c r="R8" s="2"/>
      <c r="S8" s="2"/>
      <c r="T8" s="2"/>
      <c r="U8" s="1"/>
      <c r="V8" s="1"/>
    </row>
    <row r="9" spans="1:22" x14ac:dyDescent="0.25">
      <c r="A9" s="1" t="s">
        <v>7</v>
      </c>
      <c r="B9">
        <v>0.3</v>
      </c>
      <c r="C9">
        <v>477.03053699999998</v>
      </c>
      <c r="D9">
        <v>453.83000000000004</v>
      </c>
      <c r="E9" s="1">
        <v>0.27504000000000001</v>
      </c>
      <c r="F9" s="1">
        <v>86</v>
      </c>
      <c r="G9" s="1">
        <v>0.27126126714799997</v>
      </c>
      <c r="H9" s="1">
        <v>8.3005438000000001E-2</v>
      </c>
      <c r="I9" s="1">
        <v>-5.9167861000000002E-2</v>
      </c>
      <c r="J9" s="1">
        <v>0.69</v>
      </c>
      <c r="K9" s="1">
        <v>250.1088</v>
      </c>
      <c r="L9" s="1"/>
      <c r="M9" s="1"/>
      <c r="N9" s="1"/>
      <c r="O9" s="1"/>
      <c r="P9" s="1"/>
      <c r="Q9" s="1"/>
      <c r="R9" s="2"/>
      <c r="S9" s="1"/>
      <c r="T9" s="1"/>
      <c r="U9" s="1"/>
      <c r="V9" s="1"/>
    </row>
    <row r="10" spans="1:22" x14ac:dyDescent="0.25">
      <c r="A10" s="1" t="s">
        <v>8</v>
      </c>
      <c r="B10">
        <v>0.6</v>
      </c>
      <c r="C10">
        <v>455.133578752451</v>
      </c>
      <c r="D10">
        <v>518.09000000000015</v>
      </c>
      <c r="E10" s="1">
        <v>0.30830099999999999</v>
      </c>
      <c r="F10" s="1">
        <v>96</v>
      </c>
      <c r="G10" s="1">
        <v>0.26641611368200002</v>
      </c>
      <c r="H10" s="1">
        <v>0.1138415</v>
      </c>
      <c r="I10" s="1">
        <v>-1.9190051E-2</v>
      </c>
      <c r="J10" s="1">
        <v>0.72699999999999998</v>
      </c>
      <c r="K10" s="1">
        <v>278.40480000000002</v>
      </c>
      <c r="L10" s="1"/>
      <c r="M10" s="1"/>
      <c r="N10" s="1"/>
      <c r="O10" s="1"/>
      <c r="P10" s="1"/>
      <c r="Q10" s="1"/>
      <c r="R10" s="2"/>
      <c r="S10" s="1"/>
      <c r="T10" s="1"/>
      <c r="U10" s="1"/>
      <c r="V10" s="1"/>
    </row>
    <row r="11" spans="1:22" x14ac:dyDescent="0.25">
      <c r="A11" s="1" t="s">
        <v>9</v>
      </c>
      <c r="B11">
        <v>1</v>
      </c>
      <c r="C11">
        <v>427.94606400000004</v>
      </c>
      <c r="D11">
        <v>567.23</v>
      </c>
      <c r="E11" s="1">
        <v>0.351327</v>
      </c>
      <c r="F11" s="1">
        <v>107</v>
      </c>
      <c r="G11" s="1">
        <v>0.26411701022200001</v>
      </c>
      <c r="H11" s="1">
        <v>0.12566785999999999</v>
      </c>
      <c r="I11" s="1">
        <v>-2.0931482E-3</v>
      </c>
      <c r="J11" s="1">
        <v>0.749</v>
      </c>
      <c r="K11" s="1">
        <v>309.0222</v>
      </c>
      <c r="L11" s="1"/>
      <c r="M11" s="1"/>
      <c r="N11" s="1"/>
      <c r="O11" s="1"/>
      <c r="P11" s="1"/>
      <c r="Q11" s="1"/>
      <c r="R11" s="2"/>
      <c r="S11" s="1"/>
      <c r="T11" s="1"/>
      <c r="U11" s="1"/>
      <c r="V11" s="1"/>
    </row>
    <row r="12" spans="1:22" x14ac:dyDescent="0.25">
      <c r="A12" s="1" t="s">
        <v>10</v>
      </c>
      <c r="B12">
        <v>0.6</v>
      </c>
      <c r="C12">
        <v>395.90889299999998</v>
      </c>
      <c r="D12">
        <v>617.63000000000011</v>
      </c>
      <c r="E12" s="1">
        <v>0.39078099999999999</v>
      </c>
      <c r="F12" s="1">
        <v>121</v>
      </c>
      <c r="G12" s="1">
        <v>0.26222306550199997</v>
      </c>
      <c r="H12" s="1">
        <v>0.13601774</v>
      </c>
      <c r="I12" s="1">
        <v>1.2746027E-2</v>
      </c>
      <c r="J12" s="1">
        <v>0.76800000000000002</v>
      </c>
      <c r="K12" s="1">
        <v>347.21980000000002</v>
      </c>
      <c r="L12" s="1"/>
      <c r="M12" s="1"/>
      <c r="N12" s="1"/>
      <c r="O12" s="1"/>
      <c r="P12" s="1"/>
      <c r="Q12" s="1"/>
      <c r="R12" s="2"/>
      <c r="S12" s="1"/>
      <c r="T12" s="1"/>
      <c r="U12" s="1"/>
      <c r="V12" s="1"/>
    </row>
    <row r="13" spans="1:22" x14ac:dyDescent="0.25">
      <c r="A13" s="1" t="s">
        <v>27</v>
      </c>
      <c r="B13">
        <f>100-SUM(B2:B12)</f>
        <v>55.47999999999999</v>
      </c>
      <c r="C13">
        <v>199.47907588553699</v>
      </c>
      <c r="D13">
        <v>1135.9581968984</v>
      </c>
      <c r="E13" s="1">
        <v>0.89986631425999997</v>
      </c>
      <c r="F13" s="1">
        <v>322</v>
      </c>
      <c r="G13" s="1">
        <v>0.21032623821684701</v>
      </c>
      <c r="H13" s="1">
        <v>0.211971703909975</v>
      </c>
      <c r="I13" s="1">
        <v>0.211971703909975</v>
      </c>
      <c r="J13" s="1">
        <v>0.93600000000000005</v>
      </c>
      <c r="K13" s="1">
        <v>800.55520000000001</v>
      </c>
      <c r="L13" s="1"/>
      <c r="M13" s="1"/>
      <c r="N13" s="1"/>
      <c r="O13" s="1"/>
      <c r="P13" s="1"/>
      <c r="Q13" s="1"/>
      <c r="R13" s="2"/>
      <c r="S13" s="1"/>
      <c r="T13" s="1"/>
      <c r="U13" s="1"/>
      <c r="V13" s="1"/>
    </row>
    <row r="15" spans="1:22" x14ac:dyDescent="0.25">
      <c r="D1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3"/>
  <sheetViews>
    <sheetView workbookViewId="0">
      <selection activeCell="B13" sqref="B13"/>
    </sheetView>
  </sheetViews>
  <sheetFormatPr defaultRowHeight="15" x14ac:dyDescent="0.25"/>
  <cols>
    <col min="12" max="12" width="11.5703125" bestFit="1" customWidth="1"/>
    <col min="13" max="13" width="10.5703125" bestFit="1" customWidth="1"/>
    <col min="20" max="23" width="11.5703125" bestFit="1" customWidth="1"/>
  </cols>
  <sheetData>
    <row r="1" spans="1:23" ht="30" x14ac:dyDescent="0.25"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29</v>
      </c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5">
      <c r="A2" s="1" t="s">
        <v>16</v>
      </c>
      <c r="B2" s="1">
        <v>0</v>
      </c>
      <c r="C2" s="1">
        <v>2.6890019999999998E-3</v>
      </c>
      <c r="D2" s="1">
        <v>8.5370410000000004E-3</v>
      </c>
      <c r="E2" s="1">
        <v>1.5715320000000001E-2</v>
      </c>
      <c r="F2" s="1">
        <v>1.4748529999999999E-2</v>
      </c>
      <c r="G2" s="1">
        <v>2.0878890000000001E-2</v>
      </c>
      <c r="H2" s="1">
        <v>2.0640840000000001E-2</v>
      </c>
      <c r="I2" s="1">
        <v>2.5345099999999999E-2</v>
      </c>
      <c r="J2" s="1">
        <v>2.95734E-2</v>
      </c>
      <c r="K2" s="1">
        <v>3.3996650000000003E-2</v>
      </c>
      <c r="L2" s="1">
        <v>3.9304510000000001E-2</v>
      </c>
      <c r="M2" s="1">
        <v>9.3198909999999996E-2</v>
      </c>
      <c r="O2" s="1"/>
      <c r="P2" s="1"/>
      <c r="Q2" s="1"/>
      <c r="R2" s="1"/>
      <c r="S2" s="1"/>
      <c r="T2" s="1"/>
      <c r="U2" s="1"/>
      <c r="V2" s="1"/>
      <c r="W2" s="1"/>
    </row>
    <row r="3" spans="1:23" ht="30" x14ac:dyDescent="0.25">
      <c r="A3" s="1" t="s">
        <v>17</v>
      </c>
      <c r="B3" s="1">
        <v>2.6890019999999998E-3</v>
      </c>
      <c r="C3" s="1">
        <v>0</v>
      </c>
      <c r="D3" s="1">
        <v>1.6620490000000001E-3</v>
      </c>
      <c r="E3" s="1">
        <v>5.4857880000000001E-3</v>
      </c>
      <c r="F3" s="1">
        <v>4.9143360000000001E-3</v>
      </c>
      <c r="G3" s="1">
        <v>8.7338650000000004E-3</v>
      </c>
      <c r="H3" s="1">
        <v>8.5779329999999994E-3</v>
      </c>
      <c r="I3" s="1">
        <v>1.1747830000000001E-2</v>
      </c>
      <c r="J3" s="1">
        <v>1.4731380000000001E-2</v>
      </c>
      <c r="K3" s="1">
        <v>1.7960400000000001E-2</v>
      </c>
      <c r="L3" s="1">
        <v>2.1953940000000002E-2</v>
      </c>
      <c r="M3" s="1">
        <v>6.6642489999999999E-2</v>
      </c>
      <c r="O3" s="1"/>
      <c r="P3" s="1"/>
      <c r="Q3" s="1"/>
      <c r="R3" s="1"/>
      <c r="S3" s="1"/>
      <c r="T3" s="1"/>
      <c r="U3" s="1"/>
      <c r="V3" s="1"/>
      <c r="W3" s="1"/>
    </row>
    <row r="4" spans="1:23" ht="30" x14ac:dyDescent="0.25">
      <c r="A4" s="1" t="s">
        <v>18</v>
      </c>
      <c r="B4" s="1">
        <v>8.5370410000000004E-3</v>
      </c>
      <c r="C4" s="1">
        <v>1.6620490000000001E-3</v>
      </c>
      <c r="D4" s="1">
        <v>0</v>
      </c>
      <c r="E4" s="1">
        <v>1.1165979999999999E-3</v>
      </c>
      <c r="F4" s="1">
        <v>8.6625350000000005E-4</v>
      </c>
      <c r="G4" s="1">
        <v>2.8007349999999999E-3</v>
      </c>
      <c r="H4" s="1">
        <v>2.7121319999999999E-3</v>
      </c>
      <c r="I4" s="1">
        <v>4.6198100000000002E-3</v>
      </c>
      <c r="J4" s="1">
        <v>6.5726810000000004E-3</v>
      </c>
      <c r="K4" s="1">
        <v>8.8069570000000007E-3</v>
      </c>
      <c r="L4" s="1">
        <v>1.169882E-2</v>
      </c>
      <c r="M4" s="1">
        <v>4.8429750000000001E-2</v>
      </c>
      <c r="O4" s="1"/>
      <c r="P4" s="1"/>
      <c r="Q4" s="1"/>
      <c r="R4" s="1"/>
      <c r="S4" s="1"/>
      <c r="T4" s="1"/>
      <c r="U4" s="1"/>
      <c r="V4" s="1"/>
      <c r="W4" s="1"/>
    </row>
    <row r="5" spans="1:23" x14ac:dyDescent="0.25">
      <c r="A5" s="1" t="s">
        <v>19</v>
      </c>
      <c r="B5" s="1">
        <v>1.5715320000000001E-2</v>
      </c>
      <c r="C5" s="1">
        <v>5.4857880000000001E-3</v>
      </c>
      <c r="D5" s="1">
        <v>1.1165979999999999E-3</v>
      </c>
      <c r="E5" s="1">
        <v>0</v>
      </c>
      <c r="F5" s="2">
        <v>1.5903509999999998E-5</v>
      </c>
      <c r="G5" s="1">
        <v>3.8207589999999999E-4</v>
      </c>
      <c r="H5" s="1">
        <v>3.4971120000000001E-4</v>
      </c>
      <c r="I5" s="1">
        <v>1.200305E-3</v>
      </c>
      <c r="J5" s="1">
        <v>2.2855620000000001E-3</v>
      </c>
      <c r="K5" s="1">
        <v>3.6786150000000001E-3</v>
      </c>
      <c r="L5" s="1">
        <v>5.6342609999999998E-3</v>
      </c>
      <c r="M5" s="1">
        <v>3.5441550000000002E-2</v>
      </c>
      <c r="O5" s="1"/>
      <c r="P5" s="1"/>
      <c r="Q5" s="1"/>
      <c r="R5" s="1"/>
      <c r="S5" s="1"/>
      <c r="T5" s="1"/>
      <c r="U5" s="1"/>
      <c r="V5" s="1"/>
      <c r="W5" s="1"/>
    </row>
    <row r="6" spans="1:23" x14ac:dyDescent="0.25">
      <c r="A6" s="1" t="s">
        <v>20</v>
      </c>
      <c r="B6" s="1">
        <v>1.4748529999999999E-2</v>
      </c>
      <c r="C6" s="1">
        <v>4.9143360000000001E-3</v>
      </c>
      <c r="D6" s="1">
        <v>8.6625350000000005E-4</v>
      </c>
      <c r="E6" s="2">
        <v>1.5903509999999998E-5</v>
      </c>
      <c r="F6" s="1">
        <v>0</v>
      </c>
      <c r="G6" s="1">
        <v>5.5378049999999998E-4</v>
      </c>
      <c r="H6" s="1">
        <v>5.1467790000000004E-4</v>
      </c>
      <c r="I6" s="1">
        <v>1.492054E-3</v>
      </c>
      <c r="J6" s="1">
        <v>2.681578E-3</v>
      </c>
      <c r="K6" s="1">
        <v>4.1759090000000002E-3</v>
      </c>
      <c r="L6" s="1">
        <v>6.2444859999999996E-3</v>
      </c>
      <c r="M6" s="1">
        <v>3.6894589999999998E-2</v>
      </c>
      <c r="O6" s="1"/>
      <c r="P6" s="1"/>
      <c r="Q6" s="1"/>
      <c r="R6" s="1"/>
      <c r="S6" s="1"/>
      <c r="T6" s="1"/>
      <c r="U6" s="1"/>
      <c r="V6" s="1"/>
      <c r="W6" s="1"/>
    </row>
    <row r="7" spans="1:23" x14ac:dyDescent="0.25">
      <c r="A7" s="1" t="s">
        <v>21</v>
      </c>
      <c r="B7" s="1">
        <v>2.0878890000000001E-2</v>
      </c>
      <c r="C7" s="1">
        <v>8.7338650000000004E-3</v>
      </c>
      <c r="D7" s="1">
        <v>2.8007349999999999E-3</v>
      </c>
      <c r="E7" s="1">
        <v>3.8207589999999999E-4</v>
      </c>
      <c r="F7" s="1">
        <v>5.5378049999999998E-4</v>
      </c>
      <c r="G7" s="1">
        <v>0</v>
      </c>
      <c r="H7" s="2">
        <v>7.1665799999999996E-7</v>
      </c>
      <c r="I7" s="1">
        <v>2.2833010000000001E-4</v>
      </c>
      <c r="J7" s="1">
        <v>8.0041629999999997E-4</v>
      </c>
      <c r="K7" s="1">
        <v>1.694288E-3</v>
      </c>
      <c r="L7" s="1">
        <v>3.092483E-3</v>
      </c>
      <c r="M7" s="1">
        <v>2.870897E-2</v>
      </c>
      <c r="O7" s="1"/>
      <c r="P7" s="1"/>
      <c r="Q7" s="1"/>
      <c r="R7" s="1"/>
      <c r="S7" s="1"/>
      <c r="T7" s="1"/>
      <c r="U7" s="1"/>
      <c r="V7" s="1"/>
      <c r="W7" s="1"/>
    </row>
    <row r="8" spans="1:23" x14ac:dyDescent="0.25">
      <c r="A8" s="1" t="s">
        <v>22</v>
      </c>
      <c r="B8" s="1">
        <v>2.0640840000000001E-2</v>
      </c>
      <c r="C8" s="1">
        <v>8.5779329999999994E-3</v>
      </c>
      <c r="D8" s="1">
        <v>2.7121319999999999E-3</v>
      </c>
      <c r="E8" s="1">
        <v>3.4971120000000001E-4</v>
      </c>
      <c r="F8" s="1">
        <v>5.1467790000000004E-4</v>
      </c>
      <c r="G8" s="2">
        <v>7.1665799999999996E-7</v>
      </c>
      <c r="H8" s="1">
        <v>0</v>
      </c>
      <c r="I8" s="1">
        <v>2.5462310000000003E-4</v>
      </c>
      <c r="J8" s="1">
        <v>8.4898649999999999E-4</v>
      </c>
      <c r="K8" s="1">
        <v>1.7645530000000001E-3</v>
      </c>
      <c r="L8" s="1">
        <v>3.1870029999999999E-3</v>
      </c>
      <c r="M8" s="1">
        <v>2.8986890000000001E-2</v>
      </c>
      <c r="O8" s="1"/>
      <c r="P8" s="1"/>
      <c r="Q8" s="1"/>
      <c r="R8" s="1"/>
      <c r="S8" s="1"/>
      <c r="T8" s="1"/>
      <c r="U8" s="1"/>
      <c r="V8" s="1"/>
      <c r="W8" s="1"/>
    </row>
    <row r="9" spans="1:23" x14ac:dyDescent="0.25">
      <c r="A9" s="1" t="s">
        <v>23</v>
      </c>
      <c r="B9" s="1">
        <v>2.5345099999999999E-2</v>
      </c>
      <c r="C9" s="1">
        <v>1.1747830000000001E-2</v>
      </c>
      <c r="D9" s="1">
        <v>4.6198100000000002E-3</v>
      </c>
      <c r="E9" s="1">
        <v>1.200305E-3</v>
      </c>
      <c r="F9" s="1">
        <v>1.492054E-3</v>
      </c>
      <c r="G9" s="1">
        <v>2.2833010000000001E-4</v>
      </c>
      <c r="H9" s="1">
        <v>2.5462310000000003E-4</v>
      </c>
      <c r="I9" s="1">
        <v>0</v>
      </c>
      <c r="J9" s="1">
        <v>1.7391309999999999E-4</v>
      </c>
      <c r="K9" s="1">
        <v>6.7964779999999997E-4</v>
      </c>
      <c r="L9" s="1">
        <v>1.6434290000000001E-3</v>
      </c>
      <c r="M9" s="1">
        <v>2.3959189999999998E-2</v>
      </c>
      <c r="O9" s="1"/>
      <c r="P9" s="1"/>
      <c r="Q9" s="1"/>
      <c r="R9" s="1"/>
      <c r="S9" s="1"/>
      <c r="T9" s="1"/>
      <c r="U9" s="1"/>
      <c r="V9" s="1"/>
      <c r="W9" s="1"/>
    </row>
    <row r="10" spans="1:23" x14ac:dyDescent="0.25">
      <c r="A10" s="1" t="s">
        <v>24</v>
      </c>
      <c r="B10" s="1">
        <v>2.95734E-2</v>
      </c>
      <c r="C10" s="1">
        <v>1.4731380000000001E-2</v>
      </c>
      <c r="D10" s="1">
        <v>6.5726810000000004E-3</v>
      </c>
      <c r="E10" s="1">
        <v>2.2855620000000001E-3</v>
      </c>
      <c r="F10" s="1">
        <v>2.681578E-3</v>
      </c>
      <c r="G10" s="1">
        <v>8.0041629999999997E-4</v>
      </c>
      <c r="H10" s="1">
        <v>8.4898649999999999E-4</v>
      </c>
      <c r="I10" s="1">
        <v>1.7391309999999999E-4</v>
      </c>
      <c r="J10" s="1">
        <v>0</v>
      </c>
      <c r="K10" s="1">
        <v>1.6609050000000001E-4</v>
      </c>
      <c r="L10" s="1">
        <v>7.4904500000000005E-4</v>
      </c>
      <c r="M10" s="1">
        <v>2.014614E-2</v>
      </c>
      <c r="O10" s="1"/>
      <c r="P10" s="1"/>
      <c r="Q10" s="1"/>
      <c r="R10" s="1"/>
      <c r="S10" s="1"/>
      <c r="T10" s="1"/>
      <c r="U10" s="1"/>
      <c r="V10" s="1"/>
      <c r="W10" s="1"/>
    </row>
    <row r="11" spans="1:23" x14ac:dyDescent="0.25">
      <c r="A11" s="1" t="s">
        <v>25</v>
      </c>
      <c r="B11" s="1">
        <v>3.3996650000000003E-2</v>
      </c>
      <c r="C11" s="1">
        <v>1.7960400000000001E-2</v>
      </c>
      <c r="D11" s="1">
        <v>8.8069570000000007E-3</v>
      </c>
      <c r="E11" s="1">
        <v>3.6786150000000001E-3</v>
      </c>
      <c r="F11" s="1">
        <v>4.1759090000000002E-3</v>
      </c>
      <c r="G11" s="1">
        <v>1.694288E-3</v>
      </c>
      <c r="H11" s="1">
        <v>1.7645530000000001E-3</v>
      </c>
      <c r="I11" s="1">
        <v>6.7964779999999997E-4</v>
      </c>
      <c r="J11" s="1">
        <v>1.6609050000000001E-4</v>
      </c>
      <c r="K11" s="1">
        <v>0</v>
      </c>
      <c r="L11" s="1">
        <v>2.0987419999999999E-4</v>
      </c>
      <c r="M11" s="1">
        <v>1.6724929999999999E-2</v>
      </c>
      <c r="O11" s="1"/>
      <c r="P11" s="1"/>
      <c r="Q11" s="1"/>
      <c r="R11" s="1"/>
      <c r="S11" s="1"/>
      <c r="T11" s="1"/>
      <c r="U11" s="1"/>
      <c r="V11" s="1"/>
      <c r="W11" s="1"/>
    </row>
    <row r="12" spans="1:23" x14ac:dyDescent="0.25">
      <c r="A12" s="1" t="s">
        <v>26</v>
      </c>
      <c r="B12" s="1">
        <v>3.9304510000000001E-2</v>
      </c>
      <c r="C12" s="1">
        <v>2.1953940000000002E-2</v>
      </c>
      <c r="D12" s="1">
        <v>1.169882E-2</v>
      </c>
      <c r="E12" s="1">
        <v>5.6342609999999998E-3</v>
      </c>
      <c r="F12" s="1">
        <v>6.2444859999999996E-3</v>
      </c>
      <c r="G12" s="1">
        <v>3.092483E-3</v>
      </c>
      <c r="H12" s="1">
        <v>3.1870029999999999E-3</v>
      </c>
      <c r="I12" s="1">
        <v>1.6434290000000001E-3</v>
      </c>
      <c r="J12" s="1">
        <v>7.4904500000000005E-4</v>
      </c>
      <c r="K12" s="1">
        <v>2.0987419999999999E-4</v>
      </c>
      <c r="L12" s="1">
        <v>0</v>
      </c>
      <c r="M12" s="1">
        <v>1.3245470000000001E-2</v>
      </c>
      <c r="O12" s="1"/>
      <c r="P12" s="1"/>
      <c r="Q12" s="1"/>
      <c r="R12" s="1"/>
      <c r="S12" s="1"/>
      <c r="T12" s="1"/>
      <c r="U12" s="1"/>
      <c r="V12" s="1"/>
      <c r="W12" s="1"/>
    </row>
    <row r="13" spans="1:23" x14ac:dyDescent="0.25">
      <c r="A13" s="1" t="s">
        <v>28</v>
      </c>
      <c r="B13" s="1">
        <v>9.3198909999999996E-2</v>
      </c>
      <c r="C13" s="1">
        <v>6.6642489999999999E-2</v>
      </c>
      <c r="D13" s="1">
        <v>4.8429750000000001E-2</v>
      </c>
      <c r="E13" s="1">
        <v>3.5441550000000002E-2</v>
      </c>
      <c r="F13" s="1">
        <v>3.6894589999999998E-2</v>
      </c>
      <c r="G13" s="1">
        <v>2.870897E-2</v>
      </c>
      <c r="H13" s="1">
        <v>2.8986890000000001E-2</v>
      </c>
      <c r="I13" s="1">
        <v>2.3959189999999998E-2</v>
      </c>
      <c r="J13" s="1">
        <v>2.014614E-2</v>
      </c>
      <c r="K13" s="1">
        <v>1.6724929999999999E-2</v>
      </c>
      <c r="L13" s="1">
        <v>1.3245470000000001E-2</v>
      </c>
      <c r="M13" s="1">
        <v>0</v>
      </c>
      <c r="O13" s="1"/>
      <c r="P13" s="1"/>
      <c r="Q13" s="1"/>
      <c r="R13" s="1"/>
      <c r="S13" s="1"/>
      <c r="T13" s="1"/>
      <c r="U13" s="1"/>
      <c r="V13" s="1"/>
      <c r="W13" s="1"/>
    </row>
    <row r="14" spans="1:23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2"/>
      <c r="Q15" s="1"/>
      <c r="R15" s="1"/>
      <c r="S15" s="1"/>
      <c r="T15" s="1"/>
      <c r="U15" s="1"/>
      <c r="V15" s="1"/>
      <c r="W15" s="1"/>
    </row>
    <row r="16" spans="1:23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2"/>
      <c r="P16" s="1"/>
      <c r="Q16" s="2"/>
      <c r="R16" s="1"/>
      <c r="S16" s="1"/>
      <c r="T16" s="1"/>
      <c r="U16" s="1"/>
      <c r="V16" s="1"/>
      <c r="W16" s="1"/>
    </row>
    <row r="17" spans="1:23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2"/>
      <c r="Q17" s="1"/>
      <c r="R17" s="2"/>
      <c r="S17" s="1"/>
      <c r="T17" s="1"/>
      <c r="U17" s="1"/>
      <c r="V17" s="1"/>
      <c r="W17" s="1"/>
    </row>
    <row r="18" spans="1:23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2"/>
      <c r="R18" s="1"/>
      <c r="S18" s="2"/>
      <c r="T18" s="1"/>
      <c r="U18" s="1"/>
      <c r="V18" s="1"/>
      <c r="W18" s="1"/>
    </row>
    <row r="19" spans="1:23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2"/>
      <c r="S19" s="1"/>
      <c r="T19" s="2"/>
      <c r="U19" s="1"/>
      <c r="V19" s="1"/>
      <c r="W19" s="1"/>
    </row>
    <row r="20" spans="1:23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2"/>
      <c r="T20" s="1"/>
      <c r="U20" s="2"/>
      <c r="V20" s="1"/>
      <c r="W20" s="1"/>
    </row>
    <row r="21" spans="1:23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2"/>
      <c r="U21" s="1"/>
      <c r="V21" s="2"/>
      <c r="W21" s="1"/>
    </row>
    <row r="22" spans="1:23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2"/>
      <c r="V22" s="1"/>
      <c r="W22" s="1"/>
    </row>
    <row r="23" spans="1:23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PROP</vt:lpstr>
      <vt:lpstr>BI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Resalat</cp:lastModifiedBy>
  <dcterms:created xsi:type="dcterms:W3CDTF">2021-04-19T12:37:30Z</dcterms:created>
  <dcterms:modified xsi:type="dcterms:W3CDTF">2025-03-09T16:09:26Z</dcterms:modified>
</cp:coreProperties>
</file>